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a\Downloads\"/>
    </mc:Choice>
  </mc:AlternateContent>
  <xr:revisionPtr revIDLastSave="0" documentId="8_{820912AA-1E9B-4590-8BA2-A2FF8ECD88B9}" xr6:coauthVersionLast="47" xr6:coauthVersionMax="47" xr10:uidLastSave="{00000000-0000-0000-0000-000000000000}"/>
  <bookViews>
    <workbookView xWindow="-120" yWindow="-120" windowWidth="20730" windowHeight="11040" activeTab="1" xr2:uid="{3F007078-03F4-44D3-8FE3-97C0BA7E0AF4}"/>
  </bookViews>
  <sheets>
    <sheet name="Sheet5" sheetId="5" r:id="rId1"/>
    <sheet name="Raw_Data" sheetId="2" r:id="rId2"/>
    <sheet name="Dasboard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" l="1"/>
  <c r="C3" i="4"/>
  <c r="C2" i="4"/>
  <c r="N6" i="2"/>
  <c r="I3" i="2"/>
  <c r="I4" i="2"/>
  <c r="I6" i="2"/>
  <c r="I7" i="2"/>
  <c r="I8" i="2"/>
  <c r="I9" i="2"/>
  <c r="I10" i="2"/>
  <c r="I11" i="2"/>
  <c r="I13" i="2"/>
  <c r="I15" i="2"/>
  <c r="I16" i="2"/>
  <c r="I17" i="2"/>
  <c r="I18" i="2"/>
  <c r="I20" i="2"/>
  <c r="I21" i="2"/>
  <c r="N4" i="2"/>
  <c r="N3" i="2"/>
  <c r="N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</calcChain>
</file>

<file path=xl/sharedStrings.xml><?xml version="1.0" encoding="utf-8"?>
<sst xmlns="http://schemas.openxmlformats.org/spreadsheetml/2006/main" count="94" uniqueCount="64">
  <si>
    <t>Order_ID</t>
  </si>
  <si>
    <t>Order_Date</t>
  </si>
  <si>
    <t>Delivery_Date</t>
  </si>
  <si>
    <t>City</t>
  </si>
  <si>
    <t>Client_Type</t>
  </si>
  <si>
    <t>SLA_Days</t>
  </si>
  <si>
    <t>Delivery_Time</t>
  </si>
  <si>
    <t>Delivery_Status</t>
  </si>
  <si>
    <t>Delay_Reason</t>
  </si>
  <si>
    <t>Cost</t>
  </si>
  <si>
    <t>Revenue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</si>
  <si>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</si>
  <si>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</si>
  <si>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</si>
  <si>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</si>
  <si>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</si>
  <si>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</si>
  <si>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</si>
  <si>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</si>
  <si>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</si>
  <si>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</si>
  <si>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</si>
  <si>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</si>
  <si>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</si>
  <si>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</si>
  <si>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</si>
  <si>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Pune</t>
  </si>
  <si>
    <t>Hydeabad</t>
  </si>
  <si>
    <t>Chennai</t>
  </si>
  <si>
    <t>Banglore</t>
  </si>
  <si>
    <t>Kerala</t>
  </si>
  <si>
    <t>Nagpur</t>
  </si>
  <si>
    <t>Vizag</t>
  </si>
  <si>
    <t>Delhi</t>
  </si>
  <si>
    <t>Hitech City</t>
  </si>
  <si>
    <t>ORD016</t>
  </si>
  <si>
    <t>ORD017</t>
  </si>
  <si>
    <t>ORD018</t>
  </si>
  <si>
    <t>ORD019</t>
  </si>
  <si>
    <t>ORD020</t>
  </si>
  <si>
    <t>Gurgoan</t>
  </si>
  <si>
    <t>Kolkata</t>
  </si>
  <si>
    <t>Mumbai</t>
  </si>
  <si>
    <t>Amravati</t>
  </si>
  <si>
    <t>Gujarat</t>
  </si>
  <si>
    <t>Kochi</t>
  </si>
  <si>
    <t>B2B</t>
  </si>
  <si>
    <t>Retail</t>
  </si>
  <si>
    <t>retail</t>
  </si>
  <si>
    <t>Weather</t>
  </si>
  <si>
    <t>KPI 1: On-Time Delivery %</t>
  </si>
  <si>
    <t>KPI 2: Average Delivery Time</t>
  </si>
  <si>
    <t>KPI 3: SLA Breach %</t>
  </si>
  <si>
    <t>KPI 4: Most Common Delay Reason</t>
  </si>
  <si>
    <t>Row Labels</t>
  </si>
  <si>
    <t>Warehouse Issue</t>
  </si>
  <si>
    <t>Grand Total</t>
  </si>
  <si>
    <t>(blank)</t>
  </si>
  <si>
    <t>Count of Delay_Reason</t>
  </si>
  <si>
    <t>KPI 5: Revenue Loss from Delays</t>
  </si>
  <si>
    <t>On-Time Delivery %</t>
  </si>
  <si>
    <t>SLA Breach %</t>
  </si>
  <si>
    <t>Average Delivery Time</t>
  </si>
  <si>
    <t>Reasons for Delivery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</si>
</sst>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3" borderId="0" xfId="0" applyNumberFormat="1" applyFill="1"/>
    <xf numFmtId="0" fontId="0" fillId="4" borderId="0" xfId="0" applyFill="1"/>
    <xf numFmtId="9" fontId="0" fillId="5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3" fillId="2" borderId="0" xfId="1" applyFont="1" applyFill="1"/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[Operations_KPI_Excel_Project.xlsx]Sheet5!PivotTable4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EB-47C6-AEB3-A52EC0C695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EB-47C6-AEB3-A52EC0C695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EB-47C6-AEB3-A52EC0C69519}"/>
              </c:ext>
            </c:extLst>
          </c:dPt>
          <c:cat>
            <c:strRef>
              <c:f>Sheet5!$A$4:$A$7</c:f>
              <c:strCache>
                <c:ptCount val="3"/>
                <c:pt idx="1">
                  <c:v>Warehouse Issue</c:v>
                </c:pt>
                <c:pt idx="2">
                  <c:v>(blank)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0-4639-9B2E-3D471D154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[Operations_KPI_Excel_Project.xlsx]Sheet5!PivotTable4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DA-480A-B551-B3D8B120F6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DA-480A-B551-B3D8B120F6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DA-480A-B551-B3D8B120F6E1}"/>
              </c:ext>
            </c:extLst>
          </c:dPt>
          <c:cat>
            <c:strRef>
              <c:f>Sheet5!$A$4:$A$7</c:f>
              <c:strCache>
                <c:ptCount val="3"/>
                <c:pt idx="1">
                  <c:v>Warehouse Issue</c:v>
                </c:pt>
                <c:pt idx="2">
                  <c:v>(blank)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A-480A-B551-B3D8B120F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3</xdr:row>
      <xdr:rowOff>109537</xdr:rowOff>
    </xdr:from>
    <xdr:to>
      <xdr:col>11</xdr:col>
      <xdr:colOff>495300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077A8-9C58-CEC3-D28B-948F79687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971550</xdr:colOff>
      <xdr:row>7</xdr:row>
      <xdr:rowOff>9525</xdr:rowOff>
    </xdr:from>
    <xdr:to>
      <xdr:col>7</xdr:col>
      <xdr:colOff>1143000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BDE9F-FBF1-496C-85C1-02DB57ED2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1295400</xdr:colOff>
      <xdr:row>24</xdr:row>
      <xdr:rowOff>66675</xdr:rowOff>
    </xdr:from>
    <xdr:ext cx="4086225" cy="112569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AC1A3E-68BE-CD1B-E392-6586072411F9}"/>
            </a:ext>
          </a:extLst>
        </xdr:cNvPr>
        <xdr:cNvSpPr txBox="1"/>
      </xdr:nvSpPr>
      <xdr:spPr>
        <a:xfrm>
          <a:off x="1905000" y="4638675"/>
          <a:ext cx="4086225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“Bangalore shows 80% SLA breaches, mainly due to Warehouse</a:t>
          </a:r>
          <a:r>
            <a:rPr lang="en-US" b="1" baseline="0"/>
            <a:t> issue</a:t>
          </a:r>
          <a:r>
            <a:rPr lang="en-US" b="1"/>
            <a:t> delays.”</a:t>
          </a:r>
        </a:p>
        <a:p>
          <a:r>
            <a:rPr lang="en-US" b="1"/>
            <a:t>“B2B clients generate higher revenue but also face slightly more delays.”</a:t>
          </a:r>
        </a:p>
        <a:p>
          <a:r>
            <a:rPr lang="en-US" b="1"/>
            <a:t>“Average delivery time is 4 days vs SLA 2–3 days.”</a:t>
          </a:r>
        </a:p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" refreshedDate="46027.568686342594" createdVersion="8" refreshedVersion="8" minRefreshableVersion="3" recordCount="25" xr:uid="{1D3756E0-BF3F-4572-8E7F-E5719D99DC10}">
  <cacheSource type="worksheet">
    <worksheetSource ref="I1:I1048576" sheet="Raw_Data"/>
  </cacheSource>
  <cacheFields count="1">
    <cacheField name="Delay_Reason" numFmtId="0">
      <sharedItems containsBlank="1" count="3">
        <s v="Warehouse Issue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2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7CD15-BF85-4463-8583-F7613F02DD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lay_Reason" fld="0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81244-CDC4-4A38-9E66-69DECB92CB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4:O18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lay_Reas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EE65-E54D-4FAA-BB74-563976945D01}">
  <dimension ref="A3:B7"/>
  <sheetViews>
    <sheetView workbookViewId="0">
      <selection activeCell="A2" sqref="A2:B7"/>
    </sheetView>
  </sheetViews>
  <sheetFormatPr defaultRowHeight="15" x14ac:dyDescent="0.25"/>
  <cols>
    <col min="1" max="1" width="16.28515625" bestFit="1" customWidth="1"/>
    <col min="2" max="2" width="22.42578125" bestFit="1" customWidth="1"/>
  </cols>
  <sheetData>
    <row r="3" spans="1:2" x14ac:dyDescent="0.25">
      <c r="A3" s="5" t="s">
        <v>54</v>
      </c>
      <c r="B3" t="s">
        <v>58</v>
      </c>
    </row>
    <row r="4" spans="1:2" x14ac:dyDescent="0.25">
      <c r="A4" s="6"/>
      <c r="B4" s="7">
        <v>4</v>
      </c>
    </row>
    <row r="5" spans="1:2" x14ac:dyDescent="0.25">
      <c r="A5" s="6" t="s">
        <v>55</v>
      </c>
      <c r="B5" s="7">
        <v>16</v>
      </c>
    </row>
    <row r="6" spans="1:2" x14ac:dyDescent="0.25">
      <c r="A6" s="6" t="s">
        <v>57</v>
      </c>
      <c r="B6" s="7"/>
    </row>
    <row r="7" spans="1:2" x14ac:dyDescent="0.25">
      <c r="A7" s="6" t="s">
        <v>56</v>
      </c>
      <c r="B7" s="7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B1F8-C5AB-424B-B1F0-AFBF146B80ED}">
  <dimension ref="A1:O21"/>
  <sheetViews>
    <sheetView tabSelected="1" topLeftCell="B1" workbookViewId="0">
      <selection activeCell="M13" sqref="M13"/>
    </sheetView>
  </sheetViews>
  <sheetFormatPr defaultRowHeight="15" x14ac:dyDescent="0.25"/>
  <cols>
    <col min="2" max="2" width="10.7109375" customWidth="1"/>
    <col min="3" max="3" width="13" customWidth="1"/>
    <col min="5" max="5" width="10.85546875" customWidth="1"/>
    <col min="7" max="7" width="12.85546875" customWidth="1"/>
    <col min="8" max="8" width="15.140625" customWidth="1"/>
    <col min="9" max="9" width="14.28515625" customWidth="1"/>
    <col min="11" max="11" width="13.85546875" customWidth="1"/>
    <col min="12" max="12" width="23.42578125" customWidth="1"/>
    <col min="13" max="13" width="32.7109375" customWidth="1"/>
    <col min="14" max="14" width="16.28515625" bestFit="1" customWidth="1"/>
    <col min="15" max="15" width="2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 t="s">
        <v>11</v>
      </c>
      <c r="B2" s="2">
        <v>45658</v>
      </c>
      <c r="C2" s="2">
        <v>45666</v>
      </c>
      <c r="D2" t="s">
        <v>26</v>
      </c>
      <c r="E2" t="s">
        <v>47</v>
      </c>
      <c r="F2">
        <v>2</v>
      </c>
      <c r="G2" s="3">
        <f>C2 - B2</f>
        <v>8</v>
      </c>
      <c r="H2" t="str">
        <f>IF(G2&lt;=F2,"On-Time","Delayed")</f>
        <v>Delayed</v>
      </c>
      <c r="I2" t="str">
        <f>IF(H2="Delayed","Warehouse Issue","")</f>
        <v>Warehouse Issue</v>
      </c>
      <c r="J2">
        <v>100</v>
      </c>
      <c r="K2">
        <v>300</v>
      </c>
      <c r="M2" s="4" t="s">
        <v>50</v>
      </c>
      <c r="N2" s="4">
        <f>COUNTIF(H2:H21,"On-Time")/COUNTA(H2:H21)</f>
        <v>0.2</v>
      </c>
    </row>
    <row r="3" spans="1:15" x14ac:dyDescent="0.25">
      <c r="A3" t="s">
        <v>12</v>
      </c>
      <c r="B3" s="2">
        <v>45661</v>
      </c>
      <c r="C3" s="2">
        <v>45668</v>
      </c>
      <c r="D3" t="s">
        <v>27</v>
      </c>
      <c r="E3" t="s">
        <v>46</v>
      </c>
      <c r="F3">
        <v>3</v>
      </c>
      <c r="G3" s="3">
        <f t="shared" ref="G3:G21" si="0">C3 - B3</f>
        <v>7</v>
      </c>
      <c r="H3" t="str">
        <f t="shared" ref="H3:H21" si="1">IF(G3&lt;=F3,"On-Time","Delayed")</f>
        <v>Delayed</v>
      </c>
      <c r="I3" t="str">
        <f t="shared" ref="I3:I21" si="2">IF(H3="Delayed","Warehouse Issue","")</f>
        <v>Warehouse Issue</v>
      </c>
      <c r="J3">
        <v>150</v>
      </c>
      <c r="K3">
        <v>300</v>
      </c>
      <c r="M3" t="s">
        <v>51</v>
      </c>
      <c r="N3" s="3">
        <f>AVERAGE(G2:G21)</f>
        <v>4.4000000000000004</v>
      </c>
    </row>
    <row r="4" spans="1:15" x14ac:dyDescent="0.25">
      <c r="A4" t="s">
        <v>13</v>
      </c>
      <c r="B4" s="2">
        <v>45668</v>
      </c>
      <c r="C4" s="2">
        <v>45672</v>
      </c>
      <c r="D4" t="s">
        <v>28</v>
      </c>
      <c r="E4" t="s">
        <v>47</v>
      </c>
      <c r="F4">
        <v>2</v>
      </c>
      <c r="G4" s="3">
        <f t="shared" si="0"/>
        <v>4</v>
      </c>
      <c r="H4" t="str">
        <f t="shared" si="1"/>
        <v>Delayed</v>
      </c>
      <c r="I4" t="str">
        <f t="shared" si="2"/>
        <v>Warehouse Issue</v>
      </c>
      <c r="J4">
        <v>199</v>
      </c>
      <c r="K4">
        <v>400</v>
      </c>
      <c r="M4" t="s">
        <v>52</v>
      </c>
      <c r="N4">
        <f>COUNTIF(H2:H21,"Delayed")/COUNTA(H2:H21)</f>
        <v>0.8</v>
      </c>
    </row>
    <row r="5" spans="1:15" x14ac:dyDescent="0.25">
      <c r="A5" t="s">
        <v>14</v>
      </c>
      <c r="B5" s="2">
        <v>45671</v>
      </c>
      <c r="C5" s="2">
        <v>45675</v>
      </c>
      <c r="D5" t="s">
        <v>29</v>
      </c>
      <c r="E5" t="s">
        <v>46</v>
      </c>
      <c r="F5">
        <v>4</v>
      </c>
      <c r="G5" s="3">
        <f t="shared" si="0"/>
        <v>4</v>
      </c>
      <c r="H5" t="str">
        <f t="shared" si="1"/>
        <v>On-Time</v>
      </c>
      <c r="I5" t="s">
        <v>49</v>
      </c>
      <c r="J5">
        <v>120</v>
      </c>
      <c r="K5">
        <v>370</v>
      </c>
      <c r="M5" t="s">
        <v>53</v>
      </c>
      <c r="N5">
        <v>20</v>
      </c>
    </row>
    <row r="6" spans="1:15" x14ac:dyDescent="0.25">
      <c r="A6" t="s">
        <v>15</v>
      </c>
      <c r="B6" s="2">
        <v>45675</v>
      </c>
      <c r="C6" s="2">
        <v>45679</v>
      </c>
      <c r="D6" t="s">
        <v>30</v>
      </c>
      <c r="E6" t="s">
        <v>46</v>
      </c>
      <c r="F6">
        <v>2</v>
      </c>
      <c r="G6" s="3">
        <f t="shared" si="0"/>
        <v>4</v>
      </c>
      <c r="H6" t="str">
        <f t="shared" si="1"/>
        <v>Delayed</v>
      </c>
      <c r="I6" t="str">
        <f t="shared" si="2"/>
        <v>Warehouse Issue</v>
      </c>
      <c r="J6">
        <v>150</v>
      </c>
      <c r="K6">
        <v>350</v>
      </c>
      <c r="M6" t="s">
        <v>59</v>
      </c>
      <c r="N6">
        <f>SUMIF(H2:H21,"Delayed",K2:K21)</f>
        <v>7299</v>
      </c>
    </row>
    <row r="7" spans="1:15" x14ac:dyDescent="0.25">
      <c r="A7" t="s">
        <v>16</v>
      </c>
      <c r="B7" s="2">
        <v>45678</v>
      </c>
      <c r="C7" s="2">
        <v>45682</v>
      </c>
      <c r="D7" t="s">
        <v>31</v>
      </c>
      <c r="E7" t="s">
        <v>48</v>
      </c>
      <c r="F7">
        <v>3</v>
      </c>
      <c r="G7" s="3">
        <f t="shared" si="0"/>
        <v>4</v>
      </c>
      <c r="H7" t="str">
        <f t="shared" si="1"/>
        <v>Delayed</v>
      </c>
      <c r="I7" t="str">
        <f t="shared" si="2"/>
        <v>Warehouse Issue</v>
      </c>
      <c r="J7">
        <v>199</v>
      </c>
      <c r="K7">
        <v>400</v>
      </c>
    </row>
    <row r="8" spans="1:15" x14ac:dyDescent="0.25">
      <c r="A8" t="s">
        <v>17</v>
      </c>
      <c r="B8" s="2">
        <v>45681</v>
      </c>
      <c r="C8" s="2">
        <v>45685</v>
      </c>
      <c r="D8" t="s">
        <v>32</v>
      </c>
      <c r="E8" t="s">
        <v>46</v>
      </c>
      <c r="F8">
        <v>2</v>
      </c>
      <c r="G8" s="3">
        <f t="shared" si="0"/>
        <v>4</v>
      </c>
      <c r="H8" t="str">
        <f t="shared" si="1"/>
        <v>Delayed</v>
      </c>
      <c r="I8" t="str">
        <f t="shared" si="2"/>
        <v>Warehouse Issue</v>
      </c>
      <c r="J8">
        <v>200</v>
      </c>
      <c r="K8">
        <v>450</v>
      </c>
    </row>
    <row r="9" spans="1:15" x14ac:dyDescent="0.25">
      <c r="A9" t="s">
        <v>18</v>
      </c>
      <c r="B9" s="2">
        <v>45689</v>
      </c>
      <c r="C9" s="2">
        <v>45693</v>
      </c>
      <c r="D9" t="s">
        <v>26</v>
      </c>
      <c r="E9" t="s">
        <v>47</v>
      </c>
      <c r="F9">
        <v>3</v>
      </c>
      <c r="G9" s="3">
        <f t="shared" si="0"/>
        <v>4</v>
      </c>
      <c r="H9" t="str">
        <f t="shared" si="1"/>
        <v>Delayed</v>
      </c>
      <c r="I9" t="str">
        <f t="shared" si="2"/>
        <v>Warehouse Issue</v>
      </c>
      <c r="J9">
        <v>220</v>
      </c>
      <c r="K9">
        <v>428</v>
      </c>
    </row>
    <row r="10" spans="1:15" x14ac:dyDescent="0.25">
      <c r="A10" t="s">
        <v>19</v>
      </c>
      <c r="B10" s="2">
        <v>45693</v>
      </c>
      <c r="C10" s="2">
        <v>45697</v>
      </c>
      <c r="D10" t="s">
        <v>33</v>
      </c>
      <c r="E10" t="s">
        <v>46</v>
      </c>
      <c r="F10">
        <v>2</v>
      </c>
      <c r="G10" s="3">
        <f t="shared" si="0"/>
        <v>4</v>
      </c>
      <c r="H10" t="str">
        <f t="shared" si="1"/>
        <v>Delayed</v>
      </c>
      <c r="I10" t="str">
        <f t="shared" si="2"/>
        <v>Warehouse Issue</v>
      </c>
      <c r="J10">
        <v>250</v>
      </c>
      <c r="K10">
        <v>432</v>
      </c>
    </row>
    <row r="11" spans="1:15" x14ac:dyDescent="0.25">
      <c r="A11" t="s">
        <v>20</v>
      </c>
      <c r="B11" s="2">
        <v>45696</v>
      </c>
      <c r="C11" s="2">
        <v>45700</v>
      </c>
      <c r="D11" t="s">
        <v>34</v>
      </c>
      <c r="E11" t="s">
        <v>47</v>
      </c>
      <c r="F11">
        <v>3</v>
      </c>
      <c r="G11" s="3">
        <f t="shared" si="0"/>
        <v>4</v>
      </c>
      <c r="H11" t="str">
        <f t="shared" si="1"/>
        <v>Delayed</v>
      </c>
      <c r="I11" t="str">
        <f t="shared" si="2"/>
        <v>Warehouse Issue</v>
      </c>
      <c r="J11">
        <v>100</v>
      </c>
      <c r="K11">
        <v>346</v>
      </c>
    </row>
    <row r="12" spans="1:15" x14ac:dyDescent="0.25">
      <c r="A12" t="s">
        <v>21</v>
      </c>
      <c r="B12" s="2">
        <v>45703</v>
      </c>
      <c r="C12" s="2">
        <v>45707</v>
      </c>
      <c r="D12" t="s">
        <v>40</v>
      </c>
      <c r="E12" t="s">
        <v>47</v>
      </c>
      <c r="F12">
        <v>4</v>
      </c>
      <c r="G12" s="3">
        <f t="shared" si="0"/>
        <v>4</v>
      </c>
      <c r="H12" t="str">
        <f t="shared" si="1"/>
        <v>On-Time</v>
      </c>
      <c r="I12" t="s">
        <v>49</v>
      </c>
      <c r="J12">
        <v>199</v>
      </c>
      <c r="K12">
        <v>654</v>
      </c>
    </row>
    <row r="13" spans="1:15" x14ac:dyDescent="0.25">
      <c r="A13" t="s">
        <v>22</v>
      </c>
      <c r="B13" s="2">
        <v>45704</v>
      </c>
      <c r="C13" s="2">
        <v>45709</v>
      </c>
      <c r="D13" t="s">
        <v>41</v>
      </c>
      <c r="E13" t="s">
        <v>46</v>
      </c>
      <c r="F13">
        <v>2</v>
      </c>
      <c r="G13" s="3">
        <f t="shared" si="0"/>
        <v>5</v>
      </c>
      <c r="H13" t="str">
        <f t="shared" si="1"/>
        <v>Delayed</v>
      </c>
      <c r="I13" t="str">
        <f t="shared" si="2"/>
        <v>Warehouse Issue</v>
      </c>
      <c r="J13">
        <v>159</v>
      </c>
      <c r="K13">
        <v>467</v>
      </c>
    </row>
    <row r="14" spans="1:15" x14ac:dyDescent="0.25">
      <c r="A14" t="s">
        <v>23</v>
      </c>
      <c r="B14" s="2">
        <v>45715</v>
      </c>
      <c r="C14" s="2">
        <v>45718</v>
      </c>
      <c r="D14" t="s">
        <v>42</v>
      </c>
      <c r="E14" t="s">
        <v>46</v>
      </c>
      <c r="F14">
        <v>3</v>
      </c>
      <c r="G14" s="3">
        <f t="shared" si="0"/>
        <v>3</v>
      </c>
      <c r="H14" t="str">
        <f t="shared" si="1"/>
        <v>On-Time</v>
      </c>
      <c r="I14" t="s">
        <v>49</v>
      </c>
      <c r="J14">
        <v>129</v>
      </c>
      <c r="K14">
        <v>460</v>
      </c>
      <c r="N14" s="5" t="s">
        <v>54</v>
      </c>
      <c r="O14" t="s">
        <v>58</v>
      </c>
    </row>
    <row r="15" spans="1:15" x14ac:dyDescent="0.25">
      <c r="A15" t="s">
        <v>24</v>
      </c>
      <c r="B15" s="2">
        <v>45734</v>
      </c>
      <c r="C15" s="2">
        <v>45738</v>
      </c>
      <c r="D15" t="s">
        <v>43</v>
      </c>
      <c r="E15" t="s">
        <v>47</v>
      </c>
      <c r="F15">
        <v>2</v>
      </c>
      <c r="G15" s="3">
        <f t="shared" si="0"/>
        <v>4</v>
      </c>
      <c r="H15" t="str">
        <f t="shared" si="1"/>
        <v>Delayed</v>
      </c>
      <c r="I15" t="str">
        <f t="shared" si="2"/>
        <v>Warehouse Issue</v>
      </c>
      <c r="J15">
        <v>209</v>
      </c>
      <c r="K15">
        <v>359</v>
      </c>
      <c r="N15" s="6"/>
      <c r="O15" s="7">
        <v>4</v>
      </c>
    </row>
    <row r="16" spans="1:15" x14ac:dyDescent="0.25">
      <c r="A16" t="s">
        <v>25</v>
      </c>
      <c r="B16" s="2">
        <v>45752</v>
      </c>
      <c r="C16" s="2">
        <v>45756</v>
      </c>
      <c r="D16" t="s">
        <v>44</v>
      </c>
      <c r="E16" t="s">
        <v>46</v>
      </c>
      <c r="F16">
        <v>3</v>
      </c>
      <c r="G16" s="3">
        <f t="shared" si="0"/>
        <v>4</v>
      </c>
      <c r="H16" t="str">
        <f t="shared" si="1"/>
        <v>Delayed</v>
      </c>
      <c r="I16" t="str">
        <f t="shared" si="2"/>
        <v>Warehouse Issue</v>
      </c>
      <c r="J16">
        <v>300</v>
      </c>
      <c r="K16">
        <v>769</v>
      </c>
      <c r="N16" s="6" t="s">
        <v>55</v>
      </c>
      <c r="O16" s="7">
        <v>16</v>
      </c>
    </row>
    <row r="17" spans="1:15" x14ac:dyDescent="0.25">
      <c r="A17" t="s">
        <v>35</v>
      </c>
      <c r="B17" s="2">
        <v>45767</v>
      </c>
      <c r="C17" s="2">
        <v>45771</v>
      </c>
      <c r="D17" t="s">
        <v>45</v>
      </c>
      <c r="E17" t="s">
        <v>47</v>
      </c>
      <c r="F17">
        <v>2</v>
      </c>
      <c r="G17" s="3">
        <f t="shared" si="0"/>
        <v>4</v>
      </c>
      <c r="H17" t="str">
        <f t="shared" si="1"/>
        <v>Delayed</v>
      </c>
      <c r="I17" t="str">
        <f t="shared" si="2"/>
        <v>Warehouse Issue</v>
      </c>
      <c r="J17">
        <v>309</v>
      </c>
      <c r="K17">
        <v>698</v>
      </c>
      <c r="N17" s="6" t="s">
        <v>57</v>
      </c>
      <c r="O17" s="7"/>
    </row>
    <row r="18" spans="1:15" x14ac:dyDescent="0.25">
      <c r="A18" t="s">
        <v>36</v>
      </c>
      <c r="B18" s="2">
        <v>45769</v>
      </c>
      <c r="C18" s="2">
        <v>45775</v>
      </c>
      <c r="D18" t="s">
        <v>29</v>
      </c>
      <c r="E18" t="s">
        <v>46</v>
      </c>
      <c r="F18">
        <v>3</v>
      </c>
      <c r="G18" s="3">
        <f t="shared" si="0"/>
        <v>6</v>
      </c>
      <c r="H18" t="str">
        <f t="shared" si="1"/>
        <v>Delayed</v>
      </c>
      <c r="I18" t="str">
        <f t="shared" si="2"/>
        <v>Warehouse Issue</v>
      </c>
      <c r="J18">
        <v>200</v>
      </c>
      <c r="K18">
        <v>400</v>
      </c>
      <c r="N18" s="6" t="s">
        <v>56</v>
      </c>
      <c r="O18" s="7">
        <v>20</v>
      </c>
    </row>
    <row r="19" spans="1:15" x14ac:dyDescent="0.25">
      <c r="A19" t="s">
        <v>37</v>
      </c>
      <c r="B19" s="2">
        <v>45775</v>
      </c>
      <c r="C19" s="2">
        <v>45777</v>
      </c>
      <c r="D19" t="s">
        <v>26</v>
      </c>
      <c r="E19" t="s">
        <v>46</v>
      </c>
      <c r="F19">
        <v>3</v>
      </c>
      <c r="G19" s="3">
        <f t="shared" si="0"/>
        <v>2</v>
      </c>
      <c r="H19" t="str">
        <f t="shared" si="1"/>
        <v>On-Time</v>
      </c>
      <c r="I19" t="s">
        <v>49</v>
      </c>
      <c r="J19">
        <v>299</v>
      </c>
      <c r="K19">
        <v>432</v>
      </c>
    </row>
    <row r="20" spans="1:15" x14ac:dyDescent="0.25">
      <c r="A20" t="s">
        <v>38</v>
      </c>
      <c r="B20" s="2">
        <v>45787</v>
      </c>
      <c r="C20" s="2">
        <v>45791</v>
      </c>
      <c r="D20" t="s">
        <v>27</v>
      </c>
      <c r="E20" t="s">
        <v>47</v>
      </c>
      <c r="F20">
        <v>2</v>
      </c>
      <c r="G20" s="3">
        <f t="shared" si="0"/>
        <v>4</v>
      </c>
      <c r="H20" t="str">
        <f t="shared" si="1"/>
        <v>Delayed</v>
      </c>
      <c r="I20" t="str">
        <f t="shared" si="2"/>
        <v>Warehouse Issue</v>
      </c>
      <c r="J20">
        <v>235</v>
      </c>
      <c r="K20">
        <v>543</v>
      </c>
    </row>
    <row r="21" spans="1:15" x14ac:dyDescent="0.25">
      <c r="A21" t="s">
        <v>39</v>
      </c>
      <c r="B21" s="2">
        <v>45800</v>
      </c>
      <c r="C21" s="2">
        <v>45805</v>
      </c>
      <c r="D21" t="s">
        <v>45</v>
      </c>
      <c r="E21" t="s">
        <v>47</v>
      </c>
      <c r="F21">
        <v>4</v>
      </c>
      <c r="G21" s="3">
        <f t="shared" si="0"/>
        <v>5</v>
      </c>
      <c r="H21" t="str">
        <f t="shared" si="1"/>
        <v>Delayed</v>
      </c>
      <c r="I21" t="str">
        <f t="shared" si="2"/>
        <v>Warehouse Issue</v>
      </c>
      <c r="J21">
        <v>270</v>
      </c>
      <c r="K21">
        <v>657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1984EB1-88B3-4391-A42B-93A8020B1FDB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Raw_Data!I:I</xm:f>
              <xm:sqref>Q7</xm:sqref>
            </x14:sparkline>
          </x14:sparklines>
        </x14:sparklineGroup>
        <x14:sparklineGroup type="column" displayEmptyCellsAs="gap" xr2:uid="{D370E1A7-1221-449B-9D96-8C6A30AC416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Raw_Data!O14:O18</xm:f>
              <xm:sqref>Q17</xm:sqref>
            </x14:sparkline>
            <x14:sparkline>
              <xm:f>Raw_Data!P14:P18</xm:f>
              <xm:sqref>R17</xm:sqref>
            </x14:sparkline>
            <x14:sparkline>
              <xm:f>Raw_Data!Q14:Q18</xm:f>
              <xm:sqref>S17</xm:sqref>
            </x14:sparkline>
            <x14:sparkline>
              <xm:f>Raw_Data!R14:R18</xm:f>
              <xm:sqref>T17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8112-4ED6-4B88-96CF-30938016C617}">
  <dimension ref="B1:I8"/>
  <sheetViews>
    <sheetView topLeftCell="A7" workbookViewId="0">
      <selection activeCell="I11" sqref="I11"/>
    </sheetView>
  </sheetViews>
  <sheetFormatPr defaultRowHeight="15" x14ac:dyDescent="0.25"/>
  <cols>
    <col min="2" max="2" width="20.28515625" customWidth="1"/>
    <col min="4" max="4" width="6.5703125" customWidth="1"/>
    <col min="7" max="7" width="16.7109375" customWidth="1"/>
    <col min="8" max="8" width="19" customWidth="1"/>
  </cols>
  <sheetData>
    <row r="1" spans="2:9" x14ac:dyDescent="0.25">
      <c r="F1" s="1"/>
    </row>
    <row r="2" spans="2:9" x14ac:dyDescent="0.25">
      <c r="B2" t="s">
        <v>60</v>
      </c>
      <c r="C2" s="10">
        <f>COUNTIF(Raw_Data!H2:H21,"On-Time")/COUNTA(Raw_Data!H2:H21)</f>
        <v>0.2</v>
      </c>
    </row>
    <row r="3" spans="2:9" x14ac:dyDescent="0.25">
      <c r="B3" t="s">
        <v>61</v>
      </c>
      <c r="C3" s="13">
        <f>COUNTIF(Raw_Data!H2:H21,"Delayed")/COUNTA(Raw_Data!H2:H21)</f>
        <v>0.8</v>
      </c>
    </row>
    <row r="4" spans="2:9" x14ac:dyDescent="0.25">
      <c r="B4" t="s">
        <v>62</v>
      </c>
      <c r="C4" s="8">
        <f>AVERAGE(Raw_Data!G2:G21)</f>
        <v>4.4000000000000004</v>
      </c>
    </row>
    <row r="5" spans="2:9" x14ac:dyDescent="0.25">
      <c r="C5" s="9"/>
      <c r="E5" s="11"/>
      <c r="F5" s="11"/>
      <c r="G5" s="11"/>
    </row>
    <row r="6" spans="2:9" ht="18.75" x14ac:dyDescent="0.3">
      <c r="E6" s="14" t="s">
        <v>63</v>
      </c>
      <c r="F6" s="14"/>
      <c r="G6" s="14"/>
      <c r="H6" s="12"/>
    </row>
    <row r="8" spans="2:9" x14ac:dyDescent="0.25">
      <c r="I8" s="4"/>
    </row>
  </sheetData>
  <mergeCells count="1">
    <mergeCell ref="E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Raw_Data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Lakshmi</dc:creator>
  <cp:lastModifiedBy>Naga Lakshmi</cp:lastModifiedBy>
  <dcterms:created xsi:type="dcterms:W3CDTF">2026-01-05T06:49:51Z</dcterms:created>
  <dcterms:modified xsi:type="dcterms:W3CDTF">2026-01-05T12:27:18Z</dcterms:modified>
</cp:coreProperties>
</file>